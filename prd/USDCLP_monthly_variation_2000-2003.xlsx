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331470e27929bfa/Repo/GabboTV/prd/"/>
    </mc:Choice>
  </mc:AlternateContent>
  <xr:revisionPtr revIDLastSave="3" documentId="8_{59CFBE16-BDF1-4D0D-836A-06D342641C50}" xr6:coauthVersionLast="47" xr6:coauthVersionMax="47" xr10:uidLastSave="{B6B48BCA-58CF-4C61-9641-BF736CE48ACE}"/>
  <bookViews>
    <workbookView xWindow="13845" yWindow="2790" windowWidth="2805" windowHeight="11295" tabRatio="500" xr2:uid="{00000000-000D-0000-FFFF-FFFF00000000}"/>
  </bookViews>
  <sheets>
    <sheet name="USDCLP Monthly" sheetId="1" r:id="rId1"/>
    <sheet name="Dec 2000 cal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8" i="1"/>
  <c r="B24" i="2"/>
  <c r="B15" i="1" s="1"/>
  <c r="C56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4" i="1"/>
  <c r="C13" i="1"/>
  <c r="C12" i="1"/>
  <c r="C11" i="1"/>
  <c r="C10" i="1"/>
  <c r="C9" i="1"/>
  <c r="C8" i="1"/>
  <c r="C7" i="1"/>
  <c r="C6" i="1"/>
  <c r="C16" i="1" l="1"/>
  <c r="C15" i="1"/>
  <c r="C53" i="1" l="1"/>
  <c r="C54" i="1"/>
  <c r="C55" i="1"/>
</calcChain>
</file>

<file path=xl/sharedStrings.xml><?xml version="1.0" encoding="utf-8"?>
<sst xmlns="http://schemas.openxmlformats.org/spreadsheetml/2006/main" count="20" uniqueCount="20">
  <si>
    <t>USD/CLP – Monthly % change (Mar 2000 – Nov 2003)</t>
  </si>
  <si>
    <t>Based on monthly average of the dólar observado (CLP per USD). Feb 2000 is shown only as the base for March.</t>
  </si>
  <si>
    <t>Month</t>
  </si>
  <si>
    <t>Avg USDCLP (CLP per USD)</t>
  </si>
  <si>
    <t>MoM change (%)</t>
  </si>
  <si>
    <t>base</t>
  </si>
  <si>
    <t>Summary (Mar 2000 – Nov 2003)</t>
  </si>
  <si>
    <t>Average monthly change</t>
  </si>
  <si>
    <t>Largest monthly rise</t>
  </si>
  <si>
    <t>Largest monthly fall</t>
  </si>
  <si>
    <t>Cumulative change Feb 2000 → Nov 2003</t>
  </si>
  <si>
    <t>Notes</t>
  </si>
  <si>
    <t>Blue = hardcoded input from source; black = formula; green = link to another sheet.</t>
  </si>
  <si>
    <t>Source: SII (Servicio de Impuestos Internos), 'Dólar Observado' yearly tables 2000–2003, built on Banco Central de Chile data.</t>
  </si>
  <si>
    <t>Dec 2000: SII did not publish a monthly average; computed here as the simple average of the daily observed values (see 'Dec 2000 calc').</t>
  </si>
  <si>
    <t>MoM change = this month's average ÷ previous month's average − 1 (percent, not percentage points).</t>
  </si>
  <si>
    <t>Dec 2000 – daily dólar observado (source: SII)</t>
  </si>
  <si>
    <t>Obs #</t>
  </si>
  <si>
    <t>CLP per USD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</si>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</sst>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0.00%;[Red]\-0.00%;0.00%"/>
  </numFmts>
  <fonts count="11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0000FF"/>
      <name val="Arial"/>
      <charset val="1"/>
    </font>
    <font>
      <i/>
      <sz val="11"/>
      <color rgb="FF808080"/>
      <name val="Arial"/>
      <charset val="1"/>
    </font>
    <font>
      <sz val="11"/>
      <color rgb="FF00800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sz val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164" fontId="4" fillId="0" borderId="1" xfId="0" applyNumberFormat="1" applyFont="1" applyBorder="1" applyAlignment="1">
      <alignment horizontal="left"/>
    </xf>
    <xf numFmtId="4" fontId="5" fillId="0" borderId="1" xfId="0" applyNumberFormat="1" applyFont="1" applyBorder="1"/>
    <xf numFmtId="0" fontId="6" fillId="0" borderId="1" xfId="0" applyFont="1" applyBorder="1" applyAlignment="1">
      <alignment horizontal="right"/>
    </xf>
    <xf numFmtId="165" fontId="4" fillId="0" borderId="1" xfId="0" applyNumberFormat="1" applyFont="1" applyBorder="1"/>
    <xf numFmtId="4" fontId="7" fillId="0" borderId="1" xfId="0" applyNumberFormat="1" applyFont="1" applyBorder="1"/>
    <xf numFmtId="0" fontId="8" fillId="0" borderId="0" xfId="0" applyFont="1"/>
    <xf numFmtId="0" fontId="4" fillId="0" borderId="0" xfId="0" applyFont="1"/>
    <xf numFmtId="165" fontId="4" fillId="0" borderId="0" xfId="0" applyNumberFormat="1" applyFont="1"/>
    <xf numFmtId="0" fontId="9" fillId="0" borderId="0" xfId="0" applyFont="1"/>
    <xf numFmtId="0" fontId="10" fillId="0" borderId="0" xfId="0" applyFont="1"/>
    <xf numFmtId="0" fontId="3" fillId="2" borderId="0" xfId="0" applyFont="1" applyFill="1"/>
    <xf numFmtId="4" fontId="5" fillId="0" borderId="0" xfId="0" applyNumberFormat="1" applyFont="1"/>
    <xf numFmtId="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tabSelected="1" zoomScaleNormal="100" workbookViewId="0">
      <pane ySplit="4" topLeftCell="A23" activePane="bottomLeft" state="frozen"/>
      <selection pane="bottomLeft" activeCell="D8" sqref="D8:D50"/>
    </sheetView>
  </sheetViews>
  <sheetFormatPr defaultColWidth="8.7109375" defaultRowHeight="15" x14ac:dyDescent="0.25"/>
  <cols>
    <col min="1" max="1" width="38" customWidth="1"/>
    <col min="2" max="2" width="24" customWidth="1"/>
    <col min="3" max="3" width="18" customWidth="1"/>
  </cols>
  <sheetData>
    <row r="1" spans="1:4" ht="16.5" x14ac:dyDescent="0.25">
      <c r="A1" s="1" t="s">
        <v>0</v>
      </c>
    </row>
    <row r="2" spans="1:4" x14ac:dyDescent="0.25">
      <c r="A2" s="2" t="s">
        <v>1</v>
      </c>
    </row>
    <row r="4" spans="1:4" ht="30" customHeight="1" x14ac:dyDescent="0.25">
      <c r="A4" s="3" t="s">
        <v>2</v>
      </c>
      <c r="B4" s="3" t="s">
        <v>3</v>
      </c>
      <c r="C4" s="3" t="s">
        <v>4</v>
      </c>
    </row>
    <row r="5" spans="1:4" x14ac:dyDescent="0.25">
      <c r="A5" s="4">
        <v>36557</v>
      </c>
      <c r="B5" s="5">
        <v>512.85</v>
      </c>
      <c r="C5" s="6" t="s">
        <v>5</v>
      </c>
    </row>
    <row r="6" spans="1:4" x14ac:dyDescent="0.25">
      <c r="A6" s="4">
        <v>36586</v>
      </c>
      <c r="B6" s="5">
        <v>504.38</v>
      </c>
      <c r="C6" s="7">
        <f t="shared" ref="C6:C50" si="0">B6/B5-1</f>
        <v>-1.6515550355854614E-2</v>
      </c>
    </row>
    <row r="7" spans="1:4" x14ac:dyDescent="0.25">
      <c r="A7" s="4">
        <v>36617</v>
      </c>
      <c r="B7" s="5">
        <v>508.1</v>
      </c>
      <c r="C7" s="7">
        <f t="shared" si="0"/>
        <v>7.3753915698482331E-3</v>
      </c>
    </row>
    <row r="8" spans="1:4" x14ac:dyDescent="0.25">
      <c r="A8" s="4">
        <v>36647</v>
      </c>
      <c r="B8" s="5">
        <v>521.66</v>
      </c>
      <c r="C8" s="7">
        <f t="shared" si="0"/>
        <v>2.6687659909466532E-2</v>
      </c>
      <c r="D8">
        <f>C8*100</f>
        <v>2.6687659909466532</v>
      </c>
    </row>
    <row r="9" spans="1:4" x14ac:dyDescent="0.25">
      <c r="A9" s="4">
        <v>36678</v>
      </c>
      <c r="B9" s="5">
        <v>529.74</v>
      </c>
      <c r="C9" s="7">
        <f t="shared" si="0"/>
        <v>1.5489015834068143E-2</v>
      </c>
      <c r="D9">
        <f t="shared" ref="D9:D50" si="1">C9*100</f>
        <v>1.5489015834068143</v>
      </c>
    </row>
    <row r="10" spans="1:4" x14ac:dyDescent="0.25">
      <c r="A10" s="4">
        <v>36708</v>
      </c>
      <c r="B10" s="5">
        <v>542.75</v>
      </c>
      <c r="C10" s="7">
        <f t="shared" si="0"/>
        <v>2.4559217729452243E-2</v>
      </c>
      <c r="D10">
        <f t="shared" si="1"/>
        <v>2.4559217729452243</v>
      </c>
    </row>
    <row r="11" spans="1:4" x14ac:dyDescent="0.25">
      <c r="A11" s="4">
        <v>36739</v>
      </c>
      <c r="B11" s="5">
        <v>550.99</v>
      </c>
      <c r="C11" s="7">
        <f t="shared" si="0"/>
        <v>1.5181943804698284E-2</v>
      </c>
      <c r="D11">
        <f t="shared" si="1"/>
        <v>1.5181943804698284</v>
      </c>
    </row>
    <row r="12" spans="1:4" x14ac:dyDescent="0.25">
      <c r="A12" s="4">
        <v>36770</v>
      </c>
      <c r="B12" s="5">
        <v>565.9</v>
      </c>
      <c r="C12" s="7">
        <f t="shared" si="0"/>
        <v>2.706038222109286E-2</v>
      </c>
      <c r="D12">
        <f t="shared" si="1"/>
        <v>2.706038222109286</v>
      </c>
    </row>
    <row r="13" spans="1:4" x14ac:dyDescent="0.25">
      <c r="A13" s="4">
        <v>36800</v>
      </c>
      <c r="B13" s="5">
        <v>567.84</v>
      </c>
      <c r="C13" s="7">
        <f t="shared" si="0"/>
        <v>3.4281675207634699E-3</v>
      </c>
      <c r="D13">
        <f t="shared" si="1"/>
        <v>0.34281675207634699</v>
      </c>
    </row>
    <row r="14" spans="1:4" x14ac:dyDescent="0.25">
      <c r="A14" s="4">
        <v>36831</v>
      </c>
      <c r="B14" s="5">
        <v>574.6</v>
      </c>
      <c r="C14" s="7">
        <f t="shared" si="0"/>
        <v>1.1904761904761862E-2</v>
      </c>
      <c r="D14">
        <f t="shared" si="1"/>
        <v>1.1904761904761862</v>
      </c>
    </row>
    <row r="15" spans="1:4" x14ac:dyDescent="0.25">
      <c r="A15" s="4">
        <v>36861</v>
      </c>
      <c r="B15" s="8">
        <f>'Dec 2000 calc'!B24</f>
        <v>574.62842105263155</v>
      </c>
      <c r="C15" s="7">
        <f t="shared" si="0"/>
        <v>4.9462326194849027E-5</v>
      </c>
      <c r="D15">
        <f t="shared" si="1"/>
        <v>4.9462326194849027E-3</v>
      </c>
    </row>
    <row r="16" spans="1:4" x14ac:dyDescent="0.25">
      <c r="A16" s="4">
        <v>36892</v>
      </c>
      <c r="B16" s="5">
        <v>571.12</v>
      </c>
      <c r="C16" s="7">
        <f t="shared" si="0"/>
        <v>-6.1055473834806806E-3</v>
      </c>
      <c r="D16">
        <f t="shared" si="1"/>
        <v>-0.61055473834806806</v>
      </c>
    </row>
    <row r="17" spans="1:4" x14ac:dyDescent="0.25">
      <c r="A17" s="4">
        <v>36923</v>
      </c>
      <c r="B17" s="5">
        <v>563.13</v>
      </c>
      <c r="C17" s="7">
        <f t="shared" si="0"/>
        <v>-1.3990054629499982E-2</v>
      </c>
      <c r="D17">
        <f t="shared" si="1"/>
        <v>-1.3990054629499982</v>
      </c>
    </row>
    <row r="18" spans="1:4" x14ac:dyDescent="0.25">
      <c r="A18" s="4">
        <v>36951</v>
      </c>
      <c r="B18" s="5">
        <v>587.79</v>
      </c>
      <c r="C18" s="7">
        <f t="shared" si="0"/>
        <v>4.3790954131372795E-2</v>
      </c>
      <c r="D18">
        <f t="shared" si="1"/>
        <v>4.3790954131372795</v>
      </c>
    </row>
    <row r="19" spans="1:4" x14ac:dyDescent="0.25">
      <c r="A19" s="4">
        <v>36982</v>
      </c>
      <c r="B19" s="5">
        <v>598.63</v>
      </c>
      <c r="C19" s="7">
        <f t="shared" si="0"/>
        <v>1.8441960564147042E-2</v>
      </c>
      <c r="D19">
        <f t="shared" si="1"/>
        <v>1.8441960564147042</v>
      </c>
    </row>
    <row r="20" spans="1:4" x14ac:dyDescent="0.25">
      <c r="A20" s="4">
        <v>37012</v>
      </c>
      <c r="B20" s="5">
        <v>604.48</v>
      </c>
      <c r="C20" s="7">
        <f t="shared" si="0"/>
        <v>9.7723134490419472E-3</v>
      </c>
      <c r="D20">
        <f t="shared" si="1"/>
        <v>0.97723134490419472</v>
      </c>
    </row>
    <row r="21" spans="1:4" x14ac:dyDescent="0.25">
      <c r="A21" s="4">
        <v>37043</v>
      </c>
      <c r="B21" s="5">
        <v>616.07000000000005</v>
      </c>
      <c r="C21" s="7">
        <f t="shared" si="0"/>
        <v>1.9173504499735428E-2</v>
      </c>
      <c r="D21">
        <f t="shared" si="1"/>
        <v>1.9173504499735428</v>
      </c>
    </row>
    <row r="22" spans="1:4" x14ac:dyDescent="0.25">
      <c r="A22" s="4">
        <v>37073</v>
      </c>
      <c r="B22" s="5">
        <v>656.46</v>
      </c>
      <c r="C22" s="7">
        <f t="shared" si="0"/>
        <v>6.5560731735030187E-2</v>
      </c>
      <c r="D22">
        <f t="shared" si="1"/>
        <v>6.5560731735030187</v>
      </c>
    </row>
    <row r="23" spans="1:4" x14ac:dyDescent="0.25">
      <c r="A23" s="4">
        <v>37104</v>
      </c>
      <c r="B23" s="5">
        <v>673.7</v>
      </c>
      <c r="C23" s="7">
        <f t="shared" si="0"/>
        <v>2.6262072327331465E-2</v>
      </c>
      <c r="D23">
        <f t="shared" si="1"/>
        <v>2.6262072327331465</v>
      </c>
    </row>
    <row r="24" spans="1:4" x14ac:dyDescent="0.25">
      <c r="A24" s="4">
        <v>37135</v>
      </c>
      <c r="B24" s="5">
        <v>681.24</v>
      </c>
      <c r="C24" s="7">
        <f t="shared" si="0"/>
        <v>1.1191925189253382E-2</v>
      </c>
      <c r="D24">
        <f t="shared" si="1"/>
        <v>1.1191925189253382</v>
      </c>
    </row>
    <row r="25" spans="1:4" x14ac:dyDescent="0.25">
      <c r="A25" s="4">
        <v>37165</v>
      </c>
      <c r="B25" s="5">
        <v>708.1</v>
      </c>
      <c r="C25" s="7">
        <f t="shared" si="0"/>
        <v>3.9428101696905582E-2</v>
      </c>
      <c r="D25">
        <f t="shared" si="1"/>
        <v>3.9428101696905582</v>
      </c>
    </row>
    <row r="26" spans="1:4" x14ac:dyDescent="0.25">
      <c r="A26" s="4">
        <v>37196</v>
      </c>
      <c r="B26" s="5">
        <v>689.4</v>
      </c>
      <c r="C26" s="7">
        <f t="shared" si="0"/>
        <v>-2.6408699336252006E-2</v>
      </c>
      <c r="D26">
        <f t="shared" si="1"/>
        <v>-2.6408699336252006</v>
      </c>
    </row>
    <row r="27" spans="1:4" x14ac:dyDescent="0.25">
      <c r="A27" s="4">
        <v>37226</v>
      </c>
      <c r="B27" s="5">
        <v>669.14</v>
      </c>
      <c r="C27" s="7">
        <f t="shared" si="0"/>
        <v>-2.9387873513199825E-2</v>
      </c>
      <c r="D27">
        <f t="shared" si="1"/>
        <v>-2.9387873513199825</v>
      </c>
    </row>
    <row r="28" spans="1:4" x14ac:dyDescent="0.25">
      <c r="A28" s="4">
        <v>37257</v>
      </c>
      <c r="B28" s="5">
        <v>667.28</v>
      </c>
      <c r="C28" s="7">
        <f t="shared" si="0"/>
        <v>-2.7796873598947558E-3</v>
      </c>
      <c r="D28">
        <f t="shared" si="1"/>
        <v>-0.27796873598947558</v>
      </c>
    </row>
    <row r="29" spans="1:4" x14ac:dyDescent="0.25">
      <c r="A29" s="4">
        <v>37288</v>
      </c>
      <c r="B29" s="5">
        <v>678.83</v>
      </c>
      <c r="C29" s="7">
        <f t="shared" si="0"/>
        <v>1.730907565040174E-2</v>
      </c>
      <c r="D29">
        <f t="shared" si="1"/>
        <v>1.730907565040174</v>
      </c>
    </row>
    <row r="30" spans="1:4" x14ac:dyDescent="0.25">
      <c r="A30" s="4">
        <v>37316</v>
      </c>
      <c r="B30" s="5">
        <v>663.26</v>
      </c>
      <c r="C30" s="7">
        <f t="shared" si="0"/>
        <v>-2.2936523135394848E-2</v>
      </c>
      <c r="D30">
        <f t="shared" si="1"/>
        <v>-2.2936523135394848</v>
      </c>
    </row>
    <row r="31" spans="1:4" x14ac:dyDescent="0.25">
      <c r="A31" s="4">
        <v>37347</v>
      </c>
      <c r="B31" s="5">
        <v>650.82000000000005</v>
      </c>
      <c r="C31" s="7">
        <f t="shared" si="0"/>
        <v>-1.8755842354431063E-2</v>
      </c>
      <c r="D31">
        <f t="shared" si="1"/>
        <v>-1.8755842354431063</v>
      </c>
    </row>
    <row r="32" spans="1:4" x14ac:dyDescent="0.25">
      <c r="A32" s="4">
        <v>37377</v>
      </c>
      <c r="B32" s="5">
        <v>653.91</v>
      </c>
      <c r="C32" s="7">
        <f t="shared" si="0"/>
        <v>4.7478565501981596E-3</v>
      </c>
      <c r="D32">
        <f t="shared" si="1"/>
        <v>0.47478565501981596</v>
      </c>
    </row>
    <row r="33" spans="1:4" x14ac:dyDescent="0.25">
      <c r="A33" s="4">
        <v>37408</v>
      </c>
      <c r="B33" s="5">
        <v>673.77</v>
      </c>
      <c r="C33" s="7">
        <f t="shared" si="0"/>
        <v>3.0371151993393575E-2</v>
      </c>
      <c r="D33">
        <f t="shared" si="1"/>
        <v>3.0371151993393575</v>
      </c>
    </row>
    <row r="34" spans="1:4" x14ac:dyDescent="0.25">
      <c r="A34" s="4">
        <v>37438</v>
      </c>
      <c r="B34" s="5">
        <v>696.33</v>
      </c>
      <c r="C34" s="7">
        <f t="shared" si="0"/>
        <v>3.3483236119150606E-2</v>
      </c>
      <c r="D34">
        <f t="shared" si="1"/>
        <v>3.3483236119150606</v>
      </c>
    </row>
    <row r="35" spans="1:4" x14ac:dyDescent="0.25">
      <c r="A35" s="4">
        <v>37469</v>
      </c>
      <c r="B35" s="5">
        <v>702.3</v>
      </c>
      <c r="C35" s="7">
        <f t="shared" si="0"/>
        <v>8.5735211753046325E-3</v>
      </c>
      <c r="D35">
        <f t="shared" si="1"/>
        <v>0.85735211753046325</v>
      </c>
    </row>
    <row r="36" spans="1:4" x14ac:dyDescent="0.25">
      <c r="A36" s="4">
        <v>37500</v>
      </c>
      <c r="B36" s="5">
        <v>726.98</v>
      </c>
      <c r="C36" s="7">
        <f t="shared" si="0"/>
        <v>3.5141677345863709E-2</v>
      </c>
      <c r="D36">
        <f t="shared" si="1"/>
        <v>3.5141677345863709</v>
      </c>
    </row>
    <row r="37" spans="1:4" x14ac:dyDescent="0.25">
      <c r="A37" s="4">
        <v>37530</v>
      </c>
      <c r="B37" s="5">
        <v>742.32</v>
      </c>
      <c r="C37" s="7">
        <f t="shared" si="0"/>
        <v>2.1100993149742786E-2</v>
      </c>
      <c r="D37">
        <f t="shared" si="1"/>
        <v>2.1100993149742786</v>
      </c>
    </row>
    <row r="38" spans="1:4" x14ac:dyDescent="0.25">
      <c r="A38" s="4">
        <v>37561</v>
      </c>
      <c r="B38" s="5">
        <v>709.48</v>
      </c>
      <c r="C38" s="7">
        <f t="shared" si="0"/>
        <v>-4.4239681000107778E-2</v>
      </c>
      <c r="D38">
        <f t="shared" si="1"/>
        <v>-4.4239681000107778</v>
      </c>
    </row>
    <row r="39" spans="1:4" x14ac:dyDescent="0.25">
      <c r="A39" s="4">
        <v>37591</v>
      </c>
      <c r="B39" s="5">
        <v>701.95</v>
      </c>
      <c r="C39" s="7">
        <f t="shared" si="0"/>
        <v>-1.0613407002311503E-2</v>
      </c>
      <c r="D39">
        <f t="shared" si="1"/>
        <v>-1.0613407002311503</v>
      </c>
    </row>
    <row r="40" spans="1:4" x14ac:dyDescent="0.25">
      <c r="A40" s="4">
        <v>37622</v>
      </c>
      <c r="B40" s="5">
        <v>722.48</v>
      </c>
      <c r="C40" s="7">
        <f t="shared" si="0"/>
        <v>2.9247097371607689E-2</v>
      </c>
      <c r="D40">
        <f t="shared" si="1"/>
        <v>2.9247097371607689</v>
      </c>
    </row>
    <row r="41" spans="1:4" x14ac:dyDescent="0.25">
      <c r="A41" s="4">
        <v>37653</v>
      </c>
      <c r="B41" s="5">
        <v>745.21</v>
      </c>
      <c r="C41" s="7">
        <f t="shared" si="0"/>
        <v>3.146107850736346E-2</v>
      </c>
      <c r="D41">
        <f t="shared" si="1"/>
        <v>3.146107850736346</v>
      </c>
    </row>
    <row r="42" spans="1:4" x14ac:dyDescent="0.25">
      <c r="A42" s="4">
        <v>37681</v>
      </c>
      <c r="B42" s="5">
        <v>743.28</v>
      </c>
      <c r="C42" s="7">
        <f t="shared" si="0"/>
        <v>-2.5898739952497918E-3</v>
      </c>
      <c r="D42">
        <f t="shared" si="1"/>
        <v>-0.25898739952497918</v>
      </c>
    </row>
    <row r="43" spans="1:4" x14ac:dyDescent="0.25">
      <c r="A43" s="4">
        <v>37712</v>
      </c>
      <c r="B43" s="5">
        <v>718.25</v>
      </c>
      <c r="C43" s="7">
        <f t="shared" si="0"/>
        <v>-3.3675061887848412E-2</v>
      </c>
      <c r="D43">
        <f t="shared" si="1"/>
        <v>-3.3675061887848412</v>
      </c>
    </row>
    <row r="44" spans="1:4" x14ac:dyDescent="0.25">
      <c r="A44" s="4">
        <v>37742</v>
      </c>
      <c r="B44" s="5">
        <v>703.58</v>
      </c>
      <c r="C44" s="7">
        <f t="shared" si="0"/>
        <v>-2.0424643230073092E-2</v>
      </c>
      <c r="D44">
        <f t="shared" si="1"/>
        <v>-2.0424643230073092</v>
      </c>
    </row>
    <row r="45" spans="1:4" x14ac:dyDescent="0.25">
      <c r="A45" s="4">
        <v>37773</v>
      </c>
      <c r="B45" s="5">
        <v>709.18</v>
      </c>
      <c r="C45" s="7">
        <f t="shared" si="0"/>
        <v>7.9592938969270666E-3</v>
      </c>
      <c r="D45">
        <f t="shared" si="1"/>
        <v>0.79592938969270666</v>
      </c>
    </row>
    <row r="46" spans="1:4" x14ac:dyDescent="0.25">
      <c r="A46" s="4">
        <v>37803</v>
      </c>
      <c r="B46" s="5">
        <v>701.14</v>
      </c>
      <c r="C46" s="7">
        <f t="shared" si="0"/>
        <v>-1.1337037141487261E-2</v>
      </c>
      <c r="D46">
        <f t="shared" si="1"/>
        <v>-1.1337037141487261</v>
      </c>
    </row>
    <row r="47" spans="1:4" x14ac:dyDescent="0.25">
      <c r="A47" s="4">
        <v>37834</v>
      </c>
      <c r="B47" s="5">
        <v>703.77</v>
      </c>
      <c r="C47" s="7">
        <f t="shared" si="0"/>
        <v>3.7510340302935319E-3</v>
      </c>
      <c r="D47">
        <f t="shared" si="1"/>
        <v>0.37510340302935319</v>
      </c>
    </row>
    <row r="48" spans="1:4" x14ac:dyDescent="0.25">
      <c r="A48" s="4">
        <v>37865</v>
      </c>
      <c r="B48" s="5">
        <v>675.44</v>
      </c>
      <c r="C48" s="7">
        <f t="shared" si="0"/>
        <v>-4.025462864288043E-2</v>
      </c>
      <c r="D48">
        <f t="shared" si="1"/>
        <v>-4.025462864288043</v>
      </c>
    </row>
    <row r="49" spans="1:4" x14ac:dyDescent="0.25">
      <c r="A49" s="4">
        <v>37895</v>
      </c>
      <c r="B49" s="5">
        <v>646.07000000000005</v>
      </c>
      <c r="C49" s="7">
        <f t="shared" si="0"/>
        <v>-4.3482766789056049E-2</v>
      </c>
      <c r="D49">
        <f t="shared" si="1"/>
        <v>-4.3482766789056049</v>
      </c>
    </row>
    <row r="50" spans="1:4" x14ac:dyDescent="0.25">
      <c r="A50" s="4">
        <v>37926</v>
      </c>
      <c r="B50" s="5">
        <v>625.47</v>
      </c>
      <c r="C50" s="7">
        <f t="shared" si="0"/>
        <v>-3.1885089850944959E-2</v>
      </c>
      <c r="D50">
        <f t="shared" si="1"/>
        <v>-3.1885089850944959</v>
      </c>
    </row>
    <row r="52" spans="1:4" x14ac:dyDescent="0.25">
      <c r="A52" s="9" t="s">
        <v>6</v>
      </c>
    </row>
    <row r="53" spans="1:4" x14ac:dyDescent="0.25">
      <c r="A53" s="10" t="s">
        <v>7</v>
      </c>
      <c r="C53" s="11">
        <f>AVERAGE(C6:C50)</f>
        <v>4.7360358798987602E-3</v>
      </c>
    </row>
    <row r="54" spans="1:4" x14ac:dyDescent="0.25">
      <c r="A54" s="10" t="s">
        <v>8</v>
      </c>
      <c r="C54" s="11">
        <f>MAX(C6:C50)</f>
        <v>6.5560731735030187E-2</v>
      </c>
    </row>
    <row r="55" spans="1:4" x14ac:dyDescent="0.25">
      <c r="A55" s="10" t="s">
        <v>9</v>
      </c>
      <c r="C55" s="11">
        <f>MIN(C6:C50)</f>
        <v>-4.4239681000107778E-2</v>
      </c>
    </row>
    <row r="56" spans="1:4" x14ac:dyDescent="0.25">
      <c r="A56" s="10" t="s">
        <v>10</v>
      </c>
      <c r="C56" s="11">
        <f>B50/B5-1</f>
        <v>0.21959637320854042</v>
      </c>
    </row>
    <row r="58" spans="1:4" x14ac:dyDescent="0.25">
      <c r="A58" s="12" t="s">
        <v>11</v>
      </c>
    </row>
    <row r="59" spans="1:4" x14ac:dyDescent="0.25">
      <c r="A59" s="13" t="s">
        <v>12</v>
      </c>
    </row>
    <row r="60" spans="1:4" x14ac:dyDescent="0.25">
      <c r="A60" s="13" t="s">
        <v>13</v>
      </c>
    </row>
    <row r="61" spans="1:4" x14ac:dyDescent="0.25">
      <c r="A61" s="13" t="s">
        <v>14</v>
      </c>
    </row>
    <row r="62" spans="1:4" x14ac:dyDescent="0.25">
      <c r="A62" s="13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zoomScaleNormal="100" workbookViewId="0"/>
  </sheetViews>
  <sheetFormatPr defaultColWidth="8.7109375" defaultRowHeight="15" x14ac:dyDescent="0.25"/>
  <cols>
    <col min="1" max="1" width="14" customWidth="1"/>
    <col min="2" max="2" width="16" customWidth="1"/>
  </cols>
  <sheetData>
    <row r="1" spans="1:2" x14ac:dyDescent="0.25">
      <c r="A1" s="9" t="s">
        <v>16</v>
      </c>
    </row>
    <row r="3" spans="1:2" x14ac:dyDescent="0.25">
      <c r="A3" s="14" t="s">
        <v>17</v>
      </c>
      <c r="B3" s="14" t="s">
        <v>18</v>
      </c>
    </row>
    <row r="4" spans="1:2" x14ac:dyDescent="0.25">
      <c r="A4" s="10">
        <v>1</v>
      </c>
      <c r="B4" s="15">
        <v>578.59</v>
      </c>
    </row>
    <row r="5" spans="1:2" x14ac:dyDescent="0.25">
      <c r="A5" s="10">
        <v>2</v>
      </c>
      <c r="B5" s="15">
        <v>577.62</v>
      </c>
    </row>
    <row r="6" spans="1:2" x14ac:dyDescent="0.25">
      <c r="A6" s="10">
        <v>3</v>
      </c>
      <c r="B6" s="15">
        <v>576.55999999999995</v>
      </c>
    </row>
    <row r="7" spans="1:2" x14ac:dyDescent="0.25">
      <c r="A7" s="10">
        <v>4</v>
      </c>
      <c r="B7" s="15">
        <v>575.59</v>
      </c>
    </row>
    <row r="8" spans="1:2" x14ac:dyDescent="0.25">
      <c r="A8" s="10">
        <v>5</v>
      </c>
      <c r="B8" s="15">
        <v>573.77</v>
      </c>
    </row>
    <row r="9" spans="1:2" x14ac:dyDescent="0.25">
      <c r="A9" s="10">
        <v>6</v>
      </c>
      <c r="B9" s="15">
        <v>577.15</v>
      </c>
    </row>
    <row r="10" spans="1:2" x14ac:dyDescent="0.25">
      <c r="A10" s="10">
        <v>7</v>
      </c>
      <c r="B10" s="15">
        <v>576.92999999999995</v>
      </c>
    </row>
    <row r="11" spans="1:2" x14ac:dyDescent="0.25">
      <c r="A11" s="10">
        <v>8</v>
      </c>
      <c r="B11" s="15">
        <v>576.15</v>
      </c>
    </row>
    <row r="12" spans="1:2" x14ac:dyDescent="0.25">
      <c r="A12" s="10">
        <v>9</v>
      </c>
      <c r="B12" s="15">
        <v>574.87</v>
      </c>
    </row>
    <row r="13" spans="1:2" x14ac:dyDescent="0.25">
      <c r="A13" s="10">
        <v>10</v>
      </c>
      <c r="B13" s="15">
        <v>574.86</v>
      </c>
    </row>
    <row r="14" spans="1:2" x14ac:dyDescent="0.25">
      <c r="A14" s="10">
        <v>11</v>
      </c>
      <c r="B14" s="15">
        <v>573.5</v>
      </c>
    </row>
    <row r="15" spans="1:2" x14ac:dyDescent="0.25">
      <c r="A15" s="10">
        <v>12</v>
      </c>
      <c r="B15" s="15">
        <v>572.71</v>
      </c>
    </row>
    <row r="16" spans="1:2" x14ac:dyDescent="0.25">
      <c r="A16" s="10">
        <v>13</v>
      </c>
      <c r="B16" s="15">
        <v>570.85</v>
      </c>
    </row>
    <row r="17" spans="1:2" x14ac:dyDescent="0.25">
      <c r="A17" s="10">
        <v>14</v>
      </c>
      <c r="B17" s="15">
        <v>571.85</v>
      </c>
    </row>
    <row r="18" spans="1:2" x14ac:dyDescent="0.25">
      <c r="A18" s="10">
        <v>15</v>
      </c>
      <c r="B18" s="15">
        <v>573.39</v>
      </c>
    </row>
    <row r="19" spans="1:2" x14ac:dyDescent="0.25">
      <c r="A19" s="10">
        <v>16</v>
      </c>
      <c r="B19" s="15">
        <v>573</v>
      </c>
    </row>
    <row r="20" spans="1:2" x14ac:dyDescent="0.25">
      <c r="A20" s="10">
        <v>17</v>
      </c>
      <c r="B20" s="15">
        <v>573.54999999999995</v>
      </c>
    </row>
    <row r="21" spans="1:2" x14ac:dyDescent="0.25">
      <c r="A21" s="10">
        <v>18</v>
      </c>
      <c r="B21" s="15">
        <v>574.32000000000005</v>
      </c>
    </row>
    <row r="22" spans="1:2" x14ac:dyDescent="0.25">
      <c r="A22" s="10">
        <v>19</v>
      </c>
      <c r="B22" s="15">
        <v>572.67999999999995</v>
      </c>
    </row>
    <row r="24" spans="1:2" x14ac:dyDescent="0.25">
      <c r="A24" s="9" t="s">
        <v>19</v>
      </c>
      <c r="B24" s="16">
        <f>AVERAGE(B4:B22)</f>
        <v>574.62842105263155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USDCLP Monthly</vt:lpstr>
      <vt:lpstr>Dec 2000 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gabriel a</cp:lastModifiedBy>
  <cp:revision>0</cp:revision>
  <dcterms:created xsi:type="dcterms:W3CDTF">2026-10-15T12:08:43Z</dcterms:created>
  <dcterms:modified xsi:type="dcterms:W3CDTF">2026-10-15T12:20:46Z</dcterms:modified>
  <dc:language>en-US</dc:language>
</cp:coreProperties>
</file>